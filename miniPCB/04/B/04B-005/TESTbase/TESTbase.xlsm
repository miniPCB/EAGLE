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Repos\miniPCB\EAGLE\miniPCB\04\B\04B-005\TESTbase\"/>
    </mc:Choice>
  </mc:AlternateContent>
  <xr:revisionPtr revIDLastSave="0" documentId="13_ncr:1_{BE03F140-36AA-486F-B72C-4C5956E30DDB}" xr6:coauthVersionLast="47" xr6:coauthVersionMax="47" xr10:uidLastSave="{00000000-0000-0000-0000-000000000000}"/>
  <bookViews>
    <workbookView xWindow="312" yWindow="108" windowWidth="22692" windowHeight="8964" activeTab="3" xr2:uid="{00000000-000D-0000-FFFF-FFFF00000000}"/>
  </bookViews>
  <sheets>
    <sheet name="overview" sheetId="3" r:id="rId1"/>
    <sheet name="reports" sheetId="1" r:id="rId2"/>
    <sheet name="log" sheetId="2" state="hidden" r:id="rId3"/>
    <sheet name="Test List"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8" i="3" l="1"/>
  <c r="B5" i="3" l="1"/>
  <c r="B6" i="3"/>
</calcChain>
</file>

<file path=xl/sharedStrings.xml><?xml version="1.0" encoding="utf-8"?>
<sst xmlns="http://schemas.openxmlformats.org/spreadsheetml/2006/main" count="521" uniqueCount="137">
  <si>
    <t>log</t>
  </si>
  <si>
    <t>COUNTS</t>
  </si>
  <si>
    <t>rowIndex</t>
  </si>
  <si>
    <t>Picture</t>
  </si>
  <si>
    <t>Calibration</t>
  </si>
  <si>
    <t>Approval</t>
  </si>
  <si>
    <t>dataKey</t>
  </si>
  <si>
    <t>Catalog Number</t>
  </si>
  <si>
    <t>Tool ID</t>
  </si>
  <si>
    <t>Quantity</t>
  </si>
  <si>
    <t>Comments</t>
  </si>
  <si>
    <t>VV Protocol</t>
  </si>
  <si>
    <t>VV Report</t>
  </si>
  <si>
    <t>Assigned</t>
  </si>
  <si>
    <t>Loation</t>
  </si>
  <si>
    <t>RowIndex</t>
  </si>
  <si>
    <t>Number of ECOs</t>
  </si>
  <si>
    <t>N/A (reports)</t>
  </si>
  <si>
    <t>/</t>
  </si>
  <si>
    <t xml:space="preserve"> </t>
  </si>
  <si>
    <t>Test Name</t>
  </si>
  <si>
    <t>Test Number</t>
  </si>
  <si>
    <t>UUT Part Number</t>
  </si>
  <si>
    <t>Last Test Number</t>
  </si>
  <si>
    <t>Test Type</t>
  </si>
  <si>
    <t>Test Description</t>
  </si>
  <si>
    <t>Test Setup: Power</t>
  </si>
  <si>
    <t>Test Setup: Stimuli</t>
  </si>
  <si>
    <t>Test Setup: Measurement</t>
  </si>
  <si>
    <t>Image 1</t>
  </si>
  <si>
    <t>Image 2</t>
  </si>
  <si>
    <t>Image 1 Caption</t>
  </si>
  <si>
    <t>Image 2 Caption</t>
  </si>
  <si>
    <t>Signal Pin</t>
  </si>
  <si>
    <t>Instrument</t>
  </si>
  <si>
    <t>Instrument Accuracy</t>
  </si>
  <si>
    <t>Parameter</t>
  </si>
  <si>
    <t>Lower Limit</t>
  </si>
  <si>
    <t>Target Value</t>
  </si>
  <si>
    <t>Upper Limit</t>
  </si>
  <si>
    <t>Units</t>
  </si>
  <si>
    <t>In Tolernace: Next Step</t>
  </si>
  <si>
    <t>In Tolerance: Adjust</t>
  </si>
  <si>
    <t>In Tolerance: Replace</t>
  </si>
  <si>
    <t>OOT High: Next Step</t>
  </si>
  <si>
    <t>OOT High: Adjust</t>
  </si>
  <si>
    <t>OOT Hight: Replace</t>
  </si>
  <si>
    <t>OOT Low: Next Step</t>
  </si>
  <si>
    <t>OOT Low: Adjust</t>
  </si>
  <si>
    <t>OOT Low: Replace</t>
  </si>
  <si>
    <t>OOT High and Unable to Adjust: Next Step</t>
  </si>
  <si>
    <t>OOT High and Unable to Adjust: Replace</t>
  </si>
  <si>
    <t>OOT Low and Unable to Adjust: Next Step</t>
  </si>
  <si>
    <t>OOT Low and Unable to Adjust: Replace</t>
  </si>
  <si>
    <t>T1</t>
  </si>
  <si>
    <t>+V Bus Short Circuit Test</t>
  </si>
  <si>
    <t>04B-005</t>
  </si>
  <si>
    <t>N/A</t>
  </si>
  <si>
    <t>STATIC</t>
  </si>
  <si>
    <t>Measure resistance between +V and 0V pins.</t>
  </si>
  <si>
    <t>None</t>
  </si>
  <si>
    <t>Measure resistance using handheld multimeter.</t>
  </si>
  <si>
    <t>Schematic</t>
  </si>
  <si>
    <t>Layout</t>
  </si>
  <si>
    <t>TP3</t>
  </si>
  <si>
    <t>Fluke 87</t>
  </si>
  <si>
    <t>TP4</t>
  </si>
  <si>
    <t>Resistance</t>
  </si>
  <si>
    <t>TBD</t>
  </si>
  <si>
    <t>OHMS</t>
  </si>
  <si>
    <t>T2</t>
  </si>
  <si>
    <t>T50</t>
  </si>
  <si>
    <t>-V Bus Short Circuit Test</t>
  </si>
  <si>
    <t>Measure resistance between -V and 0V</t>
  </si>
  <si>
    <t>Resistance measurement with a handheld meter.</t>
  </si>
  <si>
    <t>Click or tap here to enter text.</t>
  </si>
  <si>
    <t>TP#</t>
  </si>
  <si>
    <t>LL</t>
  </si>
  <si>
    <t>TV</t>
  </si>
  <si>
    <t>UL</t>
  </si>
  <si>
    <t>UNITS</t>
  </si>
  <si>
    <t>Test #</t>
  </si>
  <si>
    <t>Input Signal Short Circuit Test</t>
  </si>
  <si>
    <t>T3</t>
  </si>
  <si>
    <t>Measure resistance between the signal input pin and ground pin.</t>
  </si>
  <si>
    <t>Resistance measurement with a handheld multimeter.</t>
  </si>
  <si>
    <t>TP1</t>
  </si>
  <si>
    <t>INF</t>
  </si>
  <si>
    <t>T4</t>
  </si>
  <si>
    <t>Resistance measurement with handheld multimeter.</t>
  </si>
  <si>
    <t>TP10</t>
  </si>
  <si>
    <t>R4||(R8+R7min)</t>
  </si>
  <si>
    <t>R4||(R8+R7mid)</t>
  </si>
  <si>
    <t>R4||(R8+R7max)</t>
  </si>
  <si>
    <t>T5</t>
  </si>
  <si>
    <t>END FAIL</t>
  </si>
  <si>
    <t>Collector Resistors Test (R4, R7, R8)</t>
  </si>
  <si>
    <t>Adjust R7 to approximately mid-range. Measure resistance. A determination of IN TOLERANCE indicates that the resistor network formed by R4, R7, R8 is as expected. It is possible that parts selected for R10, C5, Q1 can cause the measurement to be skewed.</t>
  </si>
  <si>
    <t>Adjust R7 toward min.</t>
  </si>
  <si>
    <t>Adjust R7 toward max.</t>
  </si>
  <si>
    <t>R4, R8, R7, (R10, C5, Q1)</t>
  </si>
  <si>
    <t>Emitter Resistors Test (R5, R6, R9)</t>
  </si>
  <si>
    <t>Adjust R9 to approximately mid-range. Measure resistance. A determination of IN TOLERANCE indicates that the resistor network formed by R5, R6, R9 is as expected. It is possible that parts selected for C4 and Q1 can cause the measurement to be skewed.</t>
  </si>
  <si>
    <t>TP7</t>
  </si>
  <si>
    <t>R5 + (R6||R9min)</t>
  </si>
  <si>
    <t>R5 + (R6||R9mid)</t>
  </si>
  <si>
    <t>R5 + (R6||R9max)</t>
  </si>
  <si>
    <t>T6</t>
  </si>
  <si>
    <t>Adjust R9 toward min.</t>
  </si>
  <si>
    <t>Adjust R9 toward max.</t>
  </si>
  <si>
    <t>R5, R6, R9, (C4, Q1)</t>
  </si>
  <si>
    <t>TP6</t>
  </si>
  <si>
    <t>T7</t>
  </si>
  <si>
    <t>R3min</t>
  </si>
  <si>
    <t>R3</t>
  </si>
  <si>
    <t>R3max</t>
  </si>
  <si>
    <t>T8</t>
  </si>
  <si>
    <t>Base Resistor Test (R2)</t>
  </si>
  <si>
    <t>Base Resistor Test (R3)</t>
  </si>
  <si>
    <t>Measure resistance. A determination of IN TOLERANCE indicates that the resistance of R3 is as expected. It is possible that parts selected for R2, C4 and Q1 can cause the measurement to be skewed.</t>
  </si>
  <si>
    <t>Resistance measurement with handheld meter.</t>
  </si>
  <si>
    <t>T9</t>
  </si>
  <si>
    <t>TP5</t>
  </si>
  <si>
    <t>Measure resistance. A determination of IN TOLERANCE indicates that the resistance of R2 is as expected. It is possible that parts selected for R2, C4 and Q1 can cause the measurement to be skewed.</t>
  </si>
  <si>
    <t>Base Resistor Test (R1)</t>
  </si>
  <si>
    <t>Measure resistance. A determination of IN TOLERANCE indicates that the resistor R1 has a resistance as expected.</t>
  </si>
  <si>
    <t>R1min</t>
  </si>
  <si>
    <t>R1</t>
  </si>
  <si>
    <t>R1max</t>
  </si>
  <si>
    <t>Name of Test for T9 (R1, C2, Q1)</t>
  </si>
  <si>
    <t>000-000</t>
  </si>
  <si>
    <t xml:space="preserve">Test </t>
  </si>
  <si>
    <t>T10</t>
  </si>
  <si>
    <t>asldnfasfna</t>
  </si>
  <si>
    <t>T11</t>
  </si>
  <si>
    <t>Hello World</t>
  </si>
  <si>
    <t>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</si>
</sst>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3">
    <xf numFmtId="0" fontId="0" fillId="0" borderId="0" xfId="0"/>
    <xf numFmtId="0" fontId="0" fillId="2" borderId="0" xfId="0" applyFill="1"/>
    <xf numFmtId="0" fontId="0" fillId="2" borderId="0" xfId="0" applyFill="1" applyAlignment="1">
      <alignment horizontal="right"/>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350520</xdr:colOff>
          <xdr:row>1</xdr:row>
          <xdr:rowOff>7620</xdr:rowOff>
        </xdr:from>
        <xdr:to>
          <xdr:col>0</xdr:col>
          <xdr:colOff>1021080</xdr:colOff>
          <xdr:row>2</xdr:row>
          <xdr:rowOff>38100</xdr:rowOff>
        </xdr:to>
        <xdr:sp macro="" textlink="">
          <xdr:nvSpPr>
            <xdr:cNvPr id="1029" name="refreshData"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B8"/>
  <sheetViews>
    <sheetView zoomScale="115" zoomScaleNormal="115" workbookViewId="0">
      <selection activeCell="A9" sqref="A9"/>
    </sheetView>
  </sheetViews>
  <sheetFormatPr defaultColWidth="8.77734375" defaultRowHeight="14.4" x14ac:dyDescent="0.3"/>
  <cols>
    <col min="1" max="1" width="28.109375" style="1" customWidth="1"/>
    <col min="2" max="16384" width="8.77734375" style="1"/>
  </cols>
  <sheetData>
    <row r="4" spans="1:2" x14ac:dyDescent="0.3">
      <c r="A4" s="1" t="s">
        <v>1</v>
      </c>
    </row>
    <row r="5" spans="1:2" x14ac:dyDescent="0.3">
      <c r="A5" s="2" t="s">
        <v>16</v>
      </c>
      <c r="B5" s="1">
        <f>COUNTA('Test List'!A:A)-1</f>
        <v>12</v>
      </c>
    </row>
    <row r="6" spans="1:2" x14ac:dyDescent="0.3">
      <c r="A6" s="2" t="s">
        <v>17</v>
      </c>
      <c r="B6" s="1">
        <f>COUNTA(reports!A:A)-1</f>
        <v>0</v>
      </c>
    </row>
    <row r="8" spans="1:2" x14ac:dyDescent="0.3">
      <c r="A8" s="2" t="s">
        <v>17</v>
      </c>
      <c r="B8" s="1">
        <f>SUM(reports!D:D)</f>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refreshData">
              <controlPr defaultSize="0" print="0" autoFill="0" autoPict="0" macro="[0]!Sheet1.refreshData_Click">
                <anchor moveWithCells="1">
                  <from>
                    <xdr:col>0</xdr:col>
                    <xdr:colOff>350520</xdr:colOff>
                    <xdr:row>1</xdr:row>
                    <xdr:rowOff>7620</xdr:rowOff>
                  </from>
                  <to>
                    <xdr:col>0</xdr:col>
                    <xdr:colOff>1021080</xdr:colOff>
                    <xdr:row>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
  <sheetViews>
    <sheetView topLeftCell="B1" workbookViewId="0">
      <selection sqref="A1:AF1"/>
    </sheetView>
  </sheetViews>
  <sheetFormatPr defaultColWidth="8.77734375" defaultRowHeight="14.4" x14ac:dyDescent="0.3"/>
  <cols>
    <col min="1" max="1" width="8.77734375" bestFit="1" customWidth="1"/>
    <col min="2" max="2" width="14.33203125" bestFit="1" customWidth="1"/>
    <col min="3" max="5" width="20.21875" bestFit="1" customWidth="1"/>
    <col min="6" max="6" width="6.5546875" bestFit="1" customWidth="1"/>
    <col min="7" max="8" width="20.21875" bestFit="1" customWidth="1"/>
    <col min="9" max="10" width="14.33203125" bestFit="1" customWidth="1"/>
    <col min="11" max="12" width="20.21875" bestFit="1" customWidth="1"/>
    <col min="13" max="13" width="11.77734375" bestFit="1" customWidth="1"/>
    <col min="14" max="17" width="1.21875" bestFit="1" customWidth="1"/>
    <col min="18" max="18" width="20.21875" bestFit="1" customWidth="1"/>
    <col min="19" max="19" width="8.88671875" bestFit="1" customWidth="1"/>
    <col min="20" max="20" width="12" bestFit="1" customWidth="1"/>
    <col min="21" max="21" width="13.77734375" bestFit="1" customWidth="1"/>
    <col min="22" max="22" width="17.44140625" bestFit="1" customWidth="1"/>
    <col min="23" max="23" width="20.21875" bestFit="1" customWidth="1"/>
    <col min="24" max="24" width="12" bestFit="1" customWidth="1"/>
    <col min="25" max="25" width="46.109375" bestFit="1" customWidth="1"/>
    <col min="26" max="26" width="22.109375" bestFit="1" customWidth="1"/>
    <col min="27" max="27" width="28.6640625" bestFit="1" customWidth="1"/>
    <col min="28" max="28" width="8.88671875" bestFit="1" customWidth="1"/>
    <col min="29" max="29" width="7.109375" bestFit="1" customWidth="1"/>
    <col min="30" max="30" width="8.21875" bestFit="1" customWidth="1"/>
    <col min="31" max="31" width="11.77734375" bestFit="1" customWidth="1"/>
    <col min="32" max="32" width="8.44140625" bestFit="1" customWidth="1"/>
    <col min="33" max="33" width="11.77734375" bestFit="1" customWidth="1"/>
    <col min="34" max="37" width="1.21875" bestFit="1" customWidth="1"/>
  </cols>
  <sheetData>
    <row r="1" spans="1:13" x14ac:dyDescent="0.3">
      <c r="A1" t="s">
        <v>2</v>
      </c>
      <c r="B1" t="s">
        <v>7</v>
      </c>
      <c r="C1" t="s">
        <v>8</v>
      </c>
      <c r="D1" t="s">
        <v>9</v>
      </c>
      <c r="E1" t="s">
        <v>10</v>
      </c>
      <c r="F1" t="s">
        <v>3</v>
      </c>
      <c r="G1" t="s">
        <v>11</v>
      </c>
      <c r="H1" t="s">
        <v>12</v>
      </c>
      <c r="I1" t="s">
        <v>4</v>
      </c>
      <c r="J1" t="s">
        <v>5</v>
      </c>
      <c r="K1" t="s">
        <v>13</v>
      </c>
      <c r="L1" t="s">
        <v>14</v>
      </c>
      <c r="M1" t="s">
        <v>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election activeCell="A2" sqref="A2"/>
    </sheetView>
  </sheetViews>
  <sheetFormatPr defaultRowHeight="14.4" x14ac:dyDescent="0.3"/>
  <cols>
    <col min="1" max="1" width="63.6640625" customWidth="1"/>
  </cols>
  <sheetData>
    <row r="1" spans="1:1" x14ac:dyDescent="0.3">
      <c r="A1" t="s">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O13"/>
  <sheetViews>
    <sheetView tabSelected="1" workbookViewId="0">
      <selection activeCell="B10" sqref="B10"/>
    </sheetView>
  </sheetViews>
  <sheetFormatPr defaultColWidth="8.6640625" defaultRowHeight="14.4" x14ac:dyDescent="0.3"/>
  <cols>
    <col min="1" max="1" width="8.77734375" bestFit="1" customWidth="1"/>
    <col min="2" max="2" width="31.88671875" customWidth="1"/>
    <col min="3" max="3" width="11.44140625" bestFit="1" customWidth="1"/>
    <col min="4" max="4" width="12.21875" bestFit="1" customWidth="1"/>
    <col min="5" max="5" width="15.33203125" bestFit="1" customWidth="1"/>
    <col min="6" max="6" width="12.88671875" customWidth="1"/>
    <col min="7" max="7" width="41.44140625" customWidth="1"/>
    <col min="8" max="8" width="23.77734375" bestFit="1" customWidth="1"/>
    <col min="9" max="9" width="6.5546875" bestFit="1" customWidth="1"/>
    <col min="10" max="10" width="13.88671875" bestFit="1" customWidth="1"/>
    <col min="11" max="12" width="20.21875" bestFit="1" customWidth="1"/>
    <col min="13" max="13" width="13.88671875" bestFit="1" customWidth="1"/>
    <col min="14" max="15" width="20.21875" bestFit="1" customWidth="1"/>
    <col min="16" max="16" width="13.88671875" bestFit="1" customWidth="1"/>
    <col min="17" max="18" width="20.21875" bestFit="1" customWidth="1"/>
    <col min="19" max="20" width="12" bestFit="1" customWidth="1"/>
    <col min="21" max="21" width="13.77734375" bestFit="1" customWidth="1"/>
    <col min="22" max="22" width="17.44140625" bestFit="1" customWidth="1"/>
    <col min="23" max="23" width="20.21875" bestFit="1" customWidth="1"/>
    <col min="24" max="24" width="12" bestFit="1" customWidth="1"/>
    <col min="25" max="25" width="46.109375" bestFit="1" customWidth="1"/>
    <col min="26" max="26" width="22.109375" bestFit="1" customWidth="1"/>
    <col min="27" max="27" width="28.6640625" bestFit="1" customWidth="1"/>
    <col min="28" max="28" width="24.33203125" bestFit="1" customWidth="1"/>
    <col min="29" max="29" width="29.77734375" bestFit="1" customWidth="1"/>
    <col min="30" max="30" width="23.33203125" bestFit="1" customWidth="1"/>
    <col min="31" max="31" width="52.6640625" bestFit="1" customWidth="1"/>
    <col min="32" max="32" width="19.33203125" bestFit="1" customWidth="1"/>
    <col min="33" max="33" width="11.77734375" bestFit="1" customWidth="1"/>
    <col min="34" max="37" width="1.21875" bestFit="1" customWidth="1"/>
  </cols>
  <sheetData>
    <row r="1" spans="1:41" x14ac:dyDescent="0.3">
      <c r="A1" t="s">
        <v>15</v>
      </c>
      <c r="B1" t="s">
        <v>20</v>
      </c>
      <c r="C1" t="s">
        <v>21</v>
      </c>
      <c r="D1" t="s">
        <v>22</v>
      </c>
      <c r="E1" t="s">
        <v>23</v>
      </c>
      <c r="F1" t="s">
        <v>24</v>
      </c>
      <c r="G1" t="s">
        <v>25</v>
      </c>
      <c r="H1" t="s">
        <v>26</v>
      </c>
      <c r="I1" t="s">
        <v>27</v>
      </c>
      <c r="J1" t="s">
        <v>28</v>
      </c>
      <c r="K1" t="s">
        <v>29</v>
      </c>
      <c r="L1" t="s">
        <v>30</v>
      </c>
      <c r="M1" t="s">
        <v>31</v>
      </c>
      <c r="N1" t="s">
        <v>32</v>
      </c>
      <c r="O1" t="s">
        <v>33</v>
      </c>
      <c r="P1" t="s">
        <v>34</v>
      </c>
      <c r="Q1" t="s">
        <v>33</v>
      </c>
      <c r="R1" t="s">
        <v>35</v>
      </c>
      <c r="S1" t="s">
        <v>36</v>
      </c>
      <c r="T1" t="s">
        <v>37</v>
      </c>
      <c r="U1" t="s">
        <v>38</v>
      </c>
      <c r="V1" t="s">
        <v>39</v>
      </c>
      <c r="W1" t="s">
        <v>40</v>
      </c>
      <c r="X1" t="s">
        <v>41</v>
      </c>
      <c r="Y1" t="s">
        <v>42</v>
      </c>
      <c r="Z1" t="s">
        <v>43</v>
      </c>
      <c r="AA1" t="s">
        <v>44</v>
      </c>
      <c r="AB1" t="s">
        <v>45</v>
      </c>
      <c r="AC1" t="s">
        <v>46</v>
      </c>
      <c r="AD1" t="s">
        <v>47</v>
      </c>
      <c r="AE1" t="s">
        <v>48</v>
      </c>
      <c r="AF1" t="s">
        <v>49</v>
      </c>
      <c r="AG1" t="s">
        <v>50</v>
      </c>
      <c r="AH1" t="s">
        <v>51</v>
      </c>
      <c r="AI1" t="s">
        <v>52</v>
      </c>
      <c r="AJ1" t="s">
        <v>53</v>
      </c>
      <c r="AK1" t="s">
        <v>6</v>
      </c>
    </row>
    <row r="2" spans="1:41" x14ac:dyDescent="0.3">
      <c r="A2">
        <v>2</v>
      </c>
      <c r="B2" t="s">
        <v>55</v>
      </c>
      <c r="C2" t="s">
        <v>54</v>
      </c>
      <c r="D2" t="s">
        <v>56</v>
      </c>
      <c r="E2" t="s">
        <v>57</v>
      </c>
      <c r="F2" t="s">
        <v>58</v>
      </c>
      <c r="G2" t="s">
        <v>59</v>
      </c>
      <c r="H2" t="s">
        <v>60</v>
      </c>
      <c r="I2" t="s">
        <v>60</v>
      </c>
      <c r="J2" t="s">
        <v>61</v>
      </c>
      <c r="K2" t="s">
        <v>18</v>
      </c>
      <c r="L2" t="s">
        <v>18</v>
      </c>
      <c r="M2" t="s">
        <v>62</v>
      </c>
      <c r="N2" t="s">
        <v>63</v>
      </c>
      <c r="O2" t="s">
        <v>64</v>
      </c>
      <c r="P2" t="s">
        <v>65</v>
      </c>
      <c r="Q2" t="s">
        <v>66</v>
      </c>
      <c r="R2" t="s">
        <v>57</v>
      </c>
      <c r="S2" t="s">
        <v>67</v>
      </c>
      <c r="T2">
        <v>200</v>
      </c>
      <c r="U2" t="s">
        <v>68</v>
      </c>
      <c r="V2" t="s">
        <v>57</v>
      </c>
      <c r="W2" t="s">
        <v>69</v>
      </c>
      <c r="X2" t="s">
        <v>70</v>
      </c>
      <c r="Y2" t="s">
        <v>57</v>
      </c>
      <c r="Z2" t="s">
        <v>57</v>
      </c>
      <c r="AA2" t="s">
        <v>57</v>
      </c>
      <c r="AB2" t="s">
        <v>57</v>
      </c>
      <c r="AC2" t="s">
        <v>57</v>
      </c>
      <c r="AD2" t="s">
        <v>71</v>
      </c>
      <c r="AE2" t="s">
        <v>57</v>
      </c>
      <c r="AF2" t="s">
        <v>57</v>
      </c>
      <c r="AG2" t="s">
        <v>57</v>
      </c>
      <c r="AH2" t="s">
        <v>57</v>
      </c>
      <c r="AI2" t="s">
        <v>57</v>
      </c>
      <c r="AJ2" t="s">
        <v>57</v>
      </c>
      <c r="AK2">
        <v>20221121213139</v>
      </c>
      <c r="AL2" t="s">
        <v>19</v>
      </c>
      <c r="AM2" t="s">
        <v>19</v>
      </c>
      <c r="AN2" t="s">
        <v>19</v>
      </c>
      <c r="AO2" t="s">
        <v>19</v>
      </c>
    </row>
    <row r="3" spans="1:41" x14ac:dyDescent="0.3">
      <c r="A3">
        <v>3</v>
      </c>
      <c r="B3" t="s">
        <v>72</v>
      </c>
      <c r="C3" t="s">
        <v>70</v>
      </c>
      <c r="D3" t="s">
        <v>56</v>
      </c>
      <c r="E3" t="s">
        <v>54</v>
      </c>
      <c r="F3" t="s">
        <v>58</v>
      </c>
      <c r="G3" t="s">
        <v>73</v>
      </c>
      <c r="H3" t="s">
        <v>60</v>
      </c>
      <c r="I3" t="s">
        <v>60</v>
      </c>
      <c r="J3" t="s">
        <v>74</v>
      </c>
      <c r="K3" t="s">
        <v>18</v>
      </c>
      <c r="L3" t="s">
        <v>18</v>
      </c>
      <c r="M3" t="s">
        <v>75</v>
      </c>
      <c r="N3" t="s">
        <v>75</v>
      </c>
      <c r="O3" t="s">
        <v>76</v>
      </c>
      <c r="P3" t="s">
        <v>75</v>
      </c>
      <c r="Q3" t="s">
        <v>76</v>
      </c>
      <c r="R3" t="s">
        <v>75</v>
      </c>
      <c r="S3" t="s">
        <v>75</v>
      </c>
      <c r="T3" t="s">
        <v>77</v>
      </c>
      <c r="U3" t="s">
        <v>78</v>
      </c>
      <c r="V3" t="s">
        <v>79</v>
      </c>
      <c r="W3" t="s">
        <v>80</v>
      </c>
      <c r="X3" t="s">
        <v>81</v>
      </c>
      <c r="Y3" t="s">
        <v>75</v>
      </c>
      <c r="Z3" t="s">
        <v>75</v>
      </c>
      <c r="AA3" t="s">
        <v>81</v>
      </c>
      <c r="AB3" t="s">
        <v>75</v>
      </c>
      <c r="AC3" t="s">
        <v>75</v>
      </c>
      <c r="AD3" t="s">
        <v>81</v>
      </c>
      <c r="AE3" t="s">
        <v>75</v>
      </c>
      <c r="AF3" t="s">
        <v>75</v>
      </c>
      <c r="AG3" t="s">
        <v>81</v>
      </c>
      <c r="AH3" t="s">
        <v>75</v>
      </c>
      <c r="AI3" t="s">
        <v>81</v>
      </c>
      <c r="AJ3" t="s">
        <v>75</v>
      </c>
      <c r="AK3">
        <v>20221121213603</v>
      </c>
      <c r="AL3" t="s">
        <v>19</v>
      </c>
      <c r="AM3" t="s">
        <v>19</v>
      </c>
      <c r="AN3" t="s">
        <v>19</v>
      </c>
      <c r="AO3" t="s">
        <v>19</v>
      </c>
    </row>
    <row r="4" spans="1:41" x14ac:dyDescent="0.3">
      <c r="A4">
        <v>4</v>
      </c>
      <c r="B4" t="s">
        <v>82</v>
      </c>
      <c r="C4" t="s">
        <v>83</v>
      </c>
      <c r="D4" t="s">
        <v>56</v>
      </c>
      <c r="E4" t="s">
        <v>70</v>
      </c>
      <c r="F4" t="s">
        <v>58</v>
      </c>
      <c r="G4" t="s">
        <v>84</v>
      </c>
      <c r="H4" t="s">
        <v>60</v>
      </c>
      <c r="I4" t="s">
        <v>60</v>
      </c>
      <c r="J4" t="s">
        <v>85</v>
      </c>
      <c r="K4" t="s">
        <v>18</v>
      </c>
      <c r="L4" t="s">
        <v>18</v>
      </c>
      <c r="M4" t="s">
        <v>75</v>
      </c>
      <c r="N4" t="s">
        <v>75</v>
      </c>
      <c r="O4" t="s">
        <v>86</v>
      </c>
      <c r="P4" t="s">
        <v>65</v>
      </c>
      <c r="Q4" t="s">
        <v>66</v>
      </c>
      <c r="R4" t="s">
        <v>57</v>
      </c>
      <c r="S4" t="s">
        <v>67</v>
      </c>
      <c r="T4">
        <v>100</v>
      </c>
      <c r="U4" t="s">
        <v>87</v>
      </c>
      <c r="V4" t="s">
        <v>87</v>
      </c>
      <c r="W4" t="s">
        <v>69</v>
      </c>
      <c r="X4" t="s">
        <v>88</v>
      </c>
      <c r="Y4" t="s">
        <v>57</v>
      </c>
      <c r="Z4" t="s">
        <v>57</v>
      </c>
      <c r="AA4" t="s">
        <v>57</v>
      </c>
      <c r="AB4" t="s">
        <v>57</v>
      </c>
      <c r="AC4" t="s">
        <v>57</v>
      </c>
      <c r="AD4" t="s">
        <v>81</v>
      </c>
      <c r="AE4" t="s">
        <v>75</v>
      </c>
      <c r="AF4" t="s">
        <v>75</v>
      </c>
      <c r="AG4" t="s">
        <v>57</v>
      </c>
      <c r="AH4" t="s">
        <v>57</v>
      </c>
      <c r="AI4" t="s">
        <v>57</v>
      </c>
      <c r="AJ4" t="s">
        <v>57</v>
      </c>
      <c r="AK4">
        <v>20221127224053</v>
      </c>
      <c r="AL4" t="s">
        <v>19</v>
      </c>
      <c r="AM4" t="s">
        <v>19</v>
      </c>
      <c r="AN4" t="s">
        <v>19</v>
      </c>
      <c r="AO4" t="s">
        <v>19</v>
      </c>
    </row>
    <row r="5" spans="1:41" x14ac:dyDescent="0.3">
      <c r="A5">
        <v>5</v>
      </c>
      <c r="B5" t="s">
        <v>96</v>
      </c>
      <c r="C5" t="s">
        <v>88</v>
      </c>
      <c r="D5" t="s">
        <v>56</v>
      </c>
      <c r="E5" t="s">
        <v>83</v>
      </c>
      <c r="F5" t="s">
        <v>58</v>
      </c>
      <c r="G5" t="s">
        <v>97</v>
      </c>
      <c r="H5" t="s">
        <v>60</v>
      </c>
      <c r="I5" t="s">
        <v>60</v>
      </c>
      <c r="J5" t="s">
        <v>89</v>
      </c>
      <c r="K5" t="s">
        <v>18</v>
      </c>
      <c r="L5" t="s">
        <v>18</v>
      </c>
      <c r="M5" t="s">
        <v>75</v>
      </c>
      <c r="N5" t="s">
        <v>75</v>
      </c>
      <c r="O5" t="s">
        <v>90</v>
      </c>
      <c r="P5" t="s">
        <v>65</v>
      </c>
      <c r="Q5" t="s">
        <v>64</v>
      </c>
      <c r="R5" t="s">
        <v>57</v>
      </c>
      <c r="S5" t="s">
        <v>67</v>
      </c>
      <c r="T5" t="s">
        <v>91</v>
      </c>
      <c r="U5" t="s">
        <v>92</v>
      </c>
      <c r="V5" t="s">
        <v>93</v>
      </c>
      <c r="W5" t="s">
        <v>69</v>
      </c>
      <c r="X5" t="s">
        <v>94</v>
      </c>
      <c r="Y5" t="s">
        <v>57</v>
      </c>
      <c r="Z5" t="s">
        <v>57</v>
      </c>
      <c r="AA5" t="s">
        <v>57</v>
      </c>
      <c r="AB5" t="s">
        <v>98</v>
      </c>
      <c r="AC5" t="s">
        <v>57</v>
      </c>
      <c r="AD5" t="s">
        <v>57</v>
      </c>
      <c r="AE5" t="s">
        <v>99</v>
      </c>
      <c r="AF5" t="s">
        <v>57</v>
      </c>
      <c r="AG5" t="s">
        <v>95</v>
      </c>
      <c r="AH5" t="s">
        <v>100</v>
      </c>
      <c r="AI5" t="s">
        <v>95</v>
      </c>
      <c r="AJ5" t="s">
        <v>100</v>
      </c>
      <c r="AK5">
        <v>20221127225816</v>
      </c>
      <c r="AL5" t="s">
        <v>19</v>
      </c>
      <c r="AM5" t="s">
        <v>19</v>
      </c>
      <c r="AN5" t="s">
        <v>19</v>
      </c>
      <c r="AO5" t="s">
        <v>19</v>
      </c>
    </row>
    <row r="6" spans="1:41" x14ac:dyDescent="0.3">
      <c r="A6">
        <v>6</v>
      </c>
      <c r="B6" t="s">
        <v>101</v>
      </c>
      <c r="C6" t="s">
        <v>94</v>
      </c>
      <c r="D6" t="s">
        <v>56</v>
      </c>
      <c r="E6" t="s">
        <v>88</v>
      </c>
      <c r="F6" t="s">
        <v>58</v>
      </c>
      <c r="G6" t="s">
        <v>102</v>
      </c>
      <c r="H6" t="s">
        <v>60</v>
      </c>
      <c r="I6" t="s">
        <v>60</v>
      </c>
      <c r="J6" t="s">
        <v>89</v>
      </c>
      <c r="K6" t="s">
        <v>18</v>
      </c>
      <c r="L6" t="s">
        <v>18</v>
      </c>
      <c r="M6" t="s">
        <v>75</v>
      </c>
      <c r="N6" t="s">
        <v>75</v>
      </c>
      <c r="O6" t="s">
        <v>103</v>
      </c>
      <c r="P6" t="s">
        <v>65</v>
      </c>
      <c r="Q6" t="s">
        <v>66</v>
      </c>
      <c r="R6" t="s">
        <v>57</v>
      </c>
      <c r="S6" t="s">
        <v>67</v>
      </c>
      <c r="T6" t="s">
        <v>104</v>
      </c>
      <c r="U6" t="s">
        <v>105</v>
      </c>
      <c r="V6" t="s">
        <v>106</v>
      </c>
      <c r="W6" t="s">
        <v>69</v>
      </c>
      <c r="X6" t="s">
        <v>107</v>
      </c>
      <c r="Y6" t="s">
        <v>57</v>
      </c>
      <c r="Z6" t="s">
        <v>57</v>
      </c>
      <c r="AA6" t="s">
        <v>57</v>
      </c>
      <c r="AB6" t="s">
        <v>108</v>
      </c>
      <c r="AC6" t="s">
        <v>57</v>
      </c>
      <c r="AD6" t="s">
        <v>57</v>
      </c>
      <c r="AE6" t="s">
        <v>109</v>
      </c>
      <c r="AF6" t="s">
        <v>57</v>
      </c>
      <c r="AG6" t="s">
        <v>95</v>
      </c>
      <c r="AH6" t="s">
        <v>110</v>
      </c>
      <c r="AI6" t="s">
        <v>95</v>
      </c>
      <c r="AJ6" t="s">
        <v>110</v>
      </c>
      <c r="AK6">
        <v>20221127235326</v>
      </c>
      <c r="AL6" t="s">
        <v>19</v>
      </c>
      <c r="AM6" t="s">
        <v>19</v>
      </c>
      <c r="AN6" t="s">
        <v>19</v>
      </c>
      <c r="AO6" t="s">
        <v>19</v>
      </c>
    </row>
    <row r="7" spans="1:41" x14ac:dyDescent="0.3">
      <c r="A7">
        <v>7</v>
      </c>
      <c r="B7" t="s">
        <v>124</v>
      </c>
      <c r="C7" t="s">
        <v>107</v>
      </c>
      <c r="D7" t="s">
        <v>56</v>
      </c>
      <c r="E7" t="s">
        <v>94</v>
      </c>
      <c r="F7" t="s">
        <v>58</v>
      </c>
      <c r="G7" t="s">
        <v>125</v>
      </c>
      <c r="H7" t="s">
        <v>60</v>
      </c>
      <c r="I7" t="s">
        <v>60</v>
      </c>
      <c r="J7" t="s">
        <v>89</v>
      </c>
      <c r="K7" t="s">
        <v>18</v>
      </c>
      <c r="L7" t="s">
        <v>18</v>
      </c>
      <c r="M7" t="s">
        <v>75</v>
      </c>
      <c r="N7" t="s">
        <v>75</v>
      </c>
      <c r="O7" t="s">
        <v>122</v>
      </c>
      <c r="P7" t="s">
        <v>65</v>
      </c>
      <c r="Q7" t="s">
        <v>66</v>
      </c>
      <c r="R7" t="s">
        <v>57</v>
      </c>
      <c r="S7" t="s">
        <v>67</v>
      </c>
      <c r="T7" t="s">
        <v>126</v>
      </c>
      <c r="U7" t="s">
        <v>127</v>
      </c>
      <c r="V7" t="s">
        <v>128</v>
      </c>
      <c r="W7" t="s">
        <v>69</v>
      </c>
      <c r="X7" t="s">
        <v>112</v>
      </c>
      <c r="Y7" t="s">
        <v>57</v>
      </c>
      <c r="Z7" t="s">
        <v>57</v>
      </c>
      <c r="AA7" t="s">
        <v>95</v>
      </c>
      <c r="AB7" t="s">
        <v>57</v>
      </c>
      <c r="AC7" t="s">
        <v>127</v>
      </c>
      <c r="AD7" t="s">
        <v>95</v>
      </c>
      <c r="AE7" t="s">
        <v>57</v>
      </c>
      <c r="AF7" t="s">
        <v>127</v>
      </c>
      <c r="AG7" t="s">
        <v>57</v>
      </c>
      <c r="AH7" t="s">
        <v>57</v>
      </c>
      <c r="AI7" t="s">
        <v>57</v>
      </c>
      <c r="AJ7" t="s">
        <v>57</v>
      </c>
      <c r="AK7">
        <v>20221128004135</v>
      </c>
      <c r="AL7" t="s">
        <v>19</v>
      </c>
      <c r="AM7" t="s">
        <v>19</v>
      </c>
      <c r="AN7" t="s">
        <v>19</v>
      </c>
      <c r="AO7" t="s">
        <v>19</v>
      </c>
    </row>
    <row r="8" spans="1:41" x14ac:dyDescent="0.3">
      <c r="A8">
        <v>8</v>
      </c>
      <c r="B8" t="s">
        <v>117</v>
      </c>
      <c r="C8" t="s">
        <v>112</v>
      </c>
      <c r="D8" t="s">
        <v>56</v>
      </c>
      <c r="E8" t="s">
        <v>107</v>
      </c>
      <c r="F8" t="s">
        <v>58</v>
      </c>
      <c r="G8" t="s">
        <v>123</v>
      </c>
      <c r="H8" t="s">
        <v>60</v>
      </c>
      <c r="I8" t="s">
        <v>60</v>
      </c>
      <c r="J8" t="s">
        <v>89</v>
      </c>
      <c r="K8" t="s">
        <v>18</v>
      </c>
      <c r="L8" t="s">
        <v>18</v>
      </c>
      <c r="M8" t="s">
        <v>75</v>
      </c>
      <c r="N8" t="s">
        <v>75</v>
      </c>
      <c r="O8" t="s">
        <v>111</v>
      </c>
      <c r="P8" t="s">
        <v>65</v>
      </c>
      <c r="Q8" t="s">
        <v>66</v>
      </c>
      <c r="R8" t="s">
        <v>57</v>
      </c>
      <c r="S8" t="s">
        <v>67</v>
      </c>
      <c r="T8" t="s">
        <v>113</v>
      </c>
      <c r="U8" t="s">
        <v>114</v>
      </c>
      <c r="V8" t="s">
        <v>115</v>
      </c>
      <c r="W8" t="s">
        <v>69</v>
      </c>
      <c r="X8" t="s">
        <v>116</v>
      </c>
      <c r="Y8" t="s">
        <v>57</v>
      </c>
      <c r="Z8" t="s">
        <v>57</v>
      </c>
      <c r="AA8" t="s">
        <v>95</v>
      </c>
      <c r="AB8" t="s">
        <v>57</v>
      </c>
      <c r="AC8" t="s">
        <v>114</v>
      </c>
      <c r="AD8" t="s">
        <v>95</v>
      </c>
      <c r="AE8" t="s">
        <v>57</v>
      </c>
      <c r="AF8" t="s">
        <v>114</v>
      </c>
      <c r="AG8" t="s">
        <v>57</v>
      </c>
      <c r="AH8" t="s">
        <v>57</v>
      </c>
      <c r="AI8" t="s">
        <v>57</v>
      </c>
      <c r="AJ8" t="s">
        <v>57</v>
      </c>
      <c r="AK8">
        <v>20221128005106</v>
      </c>
      <c r="AL8" t="s">
        <v>19</v>
      </c>
      <c r="AM8" t="s">
        <v>19</v>
      </c>
      <c r="AN8" t="s">
        <v>19</v>
      </c>
      <c r="AO8" t="s">
        <v>19</v>
      </c>
    </row>
    <row r="9" spans="1:41" x14ac:dyDescent="0.3">
      <c r="A9">
        <v>9</v>
      </c>
      <c r="B9" t="s">
        <v>118</v>
      </c>
      <c r="C9" t="s">
        <v>116</v>
      </c>
      <c r="D9" t="s">
        <v>56</v>
      </c>
      <c r="E9" t="s">
        <v>112</v>
      </c>
      <c r="F9" t="s">
        <v>58</v>
      </c>
      <c r="G9" t="s">
        <v>119</v>
      </c>
      <c r="H9" t="s">
        <v>60</v>
      </c>
      <c r="I9" t="s">
        <v>60</v>
      </c>
      <c r="J9" t="s">
        <v>120</v>
      </c>
      <c r="K9" t="s">
        <v>18</v>
      </c>
      <c r="L9" t="s">
        <v>18</v>
      </c>
      <c r="M9" t="s">
        <v>75</v>
      </c>
      <c r="N9" t="s">
        <v>75</v>
      </c>
      <c r="O9" t="s">
        <v>111</v>
      </c>
      <c r="P9" t="s">
        <v>65</v>
      </c>
      <c r="Q9" t="s">
        <v>66</v>
      </c>
      <c r="R9" t="s">
        <v>57</v>
      </c>
      <c r="S9" t="s">
        <v>67</v>
      </c>
      <c r="T9" t="s">
        <v>113</v>
      </c>
      <c r="U9" t="s">
        <v>114</v>
      </c>
      <c r="V9" t="s">
        <v>115</v>
      </c>
      <c r="W9" t="s">
        <v>69</v>
      </c>
      <c r="X9" t="s">
        <v>121</v>
      </c>
      <c r="Y9" t="s">
        <v>57</v>
      </c>
      <c r="Z9" t="s">
        <v>57</v>
      </c>
      <c r="AA9" t="s">
        <v>95</v>
      </c>
      <c r="AB9" t="s">
        <v>57</v>
      </c>
      <c r="AC9" t="s">
        <v>114</v>
      </c>
      <c r="AD9" t="s">
        <v>95</v>
      </c>
      <c r="AE9" t="s">
        <v>57</v>
      </c>
      <c r="AF9" t="s">
        <v>114</v>
      </c>
      <c r="AG9" t="s">
        <v>57</v>
      </c>
      <c r="AH9" t="s">
        <v>57</v>
      </c>
      <c r="AI9" t="s">
        <v>57</v>
      </c>
      <c r="AJ9" t="s">
        <v>57</v>
      </c>
      <c r="AK9">
        <v>20221128010436</v>
      </c>
      <c r="AL9" t="s">
        <v>19</v>
      </c>
      <c r="AM9" t="s">
        <v>19</v>
      </c>
      <c r="AN9" t="s">
        <v>19</v>
      </c>
      <c r="AO9" t="s">
        <v>19</v>
      </c>
    </row>
    <row r="10" spans="1:41" x14ac:dyDescent="0.3">
      <c r="A10">
        <v>10</v>
      </c>
      <c r="B10" t="s">
        <v>129</v>
      </c>
      <c r="C10" t="s">
        <v>121</v>
      </c>
      <c r="D10" t="s">
        <v>130</v>
      </c>
      <c r="E10" t="s">
        <v>116</v>
      </c>
      <c r="F10" t="s">
        <v>75</v>
      </c>
      <c r="G10" t="s">
        <v>75</v>
      </c>
      <c r="H10" t="s">
        <v>75</v>
      </c>
      <c r="I10" t="s">
        <v>75</v>
      </c>
      <c r="J10" t="s">
        <v>75</v>
      </c>
      <c r="K10" t="s">
        <v>18</v>
      </c>
      <c r="L10" t="s">
        <v>18</v>
      </c>
      <c r="M10" t="s">
        <v>75</v>
      </c>
      <c r="N10" t="s">
        <v>75</v>
      </c>
      <c r="O10" t="s">
        <v>76</v>
      </c>
      <c r="P10" t="s">
        <v>75</v>
      </c>
      <c r="Q10" t="s">
        <v>76</v>
      </c>
      <c r="R10" t="s">
        <v>75</v>
      </c>
      <c r="S10" t="s">
        <v>75</v>
      </c>
      <c r="T10" t="s">
        <v>77</v>
      </c>
      <c r="U10" t="s">
        <v>78</v>
      </c>
      <c r="V10" t="s">
        <v>79</v>
      </c>
      <c r="W10" t="s">
        <v>80</v>
      </c>
      <c r="X10" t="s">
        <v>81</v>
      </c>
      <c r="Y10" t="s">
        <v>75</v>
      </c>
      <c r="Z10" t="s">
        <v>75</v>
      </c>
      <c r="AA10" t="s">
        <v>81</v>
      </c>
      <c r="AB10" t="s">
        <v>75</v>
      </c>
      <c r="AC10" t="s">
        <v>75</v>
      </c>
      <c r="AD10" t="s">
        <v>81</v>
      </c>
      <c r="AE10" t="s">
        <v>75</v>
      </c>
      <c r="AF10" t="s">
        <v>75</v>
      </c>
      <c r="AG10" t="s">
        <v>81</v>
      </c>
      <c r="AH10" t="s">
        <v>75</v>
      </c>
      <c r="AI10" t="s">
        <v>81</v>
      </c>
      <c r="AJ10" t="s">
        <v>75</v>
      </c>
      <c r="AK10">
        <v>20221130180213</v>
      </c>
      <c r="AL10" t="s">
        <v>19</v>
      </c>
      <c r="AM10" t="s">
        <v>19</v>
      </c>
      <c r="AN10" t="s">
        <v>19</v>
      </c>
      <c r="AO10" t="s">
        <v>19</v>
      </c>
    </row>
    <row r="11" spans="1:41" x14ac:dyDescent="0.3">
      <c r="A11">
        <v>11</v>
      </c>
      <c r="B11" t="s">
        <v>131</v>
      </c>
      <c r="C11" t="s">
        <v>132</v>
      </c>
      <c r="D11" t="s">
        <v>75</v>
      </c>
      <c r="E11" t="s">
        <v>75</v>
      </c>
      <c r="F11" t="s">
        <v>75</v>
      </c>
      <c r="G11" t="s">
        <v>75</v>
      </c>
      <c r="H11" t="s">
        <v>75</v>
      </c>
      <c r="I11" t="s">
        <v>75</v>
      </c>
      <c r="J11" t="s">
        <v>75</v>
      </c>
      <c r="K11" t="s">
        <v>18</v>
      </c>
      <c r="L11" t="s">
        <v>18</v>
      </c>
      <c r="M11" t="s">
        <v>75</v>
      </c>
      <c r="N11" t="s">
        <v>75</v>
      </c>
      <c r="O11" t="s">
        <v>76</v>
      </c>
      <c r="P11" t="s">
        <v>75</v>
      </c>
      <c r="Q11" t="s">
        <v>76</v>
      </c>
      <c r="R11" t="s">
        <v>75</v>
      </c>
      <c r="S11" t="s">
        <v>75</v>
      </c>
      <c r="T11" t="s">
        <v>77</v>
      </c>
      <c r="U11" t="s">
        <v>78</v>
      </c>
      <c r="V11" t="s">
        <v>79</v>
      </c>
      <c r="W11" t="s">
        <v>80</v>
      </c>
      <c r="X11" t="s">
        <v>81</v>
      </c>
      <c r="Y11" t="s">
        <v>75</v>
      </c>
      <c r="Z11" t="s">
        <v>75</v>
      </c>
      <c r="AA11" t="s">
        <v>81</v>
      </c>
      <c r="AB11" t="s">
        <v>75</v>
      </c>
      <c r="AC11" t="s">
        <v>75</v>
      </c>
      <c r="AD11" t="s">
        <v>81</v>
      </c>
      <c r="AE11" t="s">
        <v>75</v>
      </c>
      <c r="AF11" t="s">
        <v>75</v>
      </c>
      <c r="AG11" t="s">
        <v>81</v>
      </c>
      <c r="AH11" t="s">
        <v>75</v>
      </c>
      <c r="AI11" t="s">
        <v>81</v>
      </c>
      <c r="AJ11" t="s">
        <v>75</v>
      </c>
      <c r="AK11">
        <v>20221130180242</v>
      </c>
      <c r="AL11" t="s">
        <v>19</v>
      </c>
      <c r="AM11" t="s">
        <v>19</v>
      </c>
      <c r="AN11" t="s">
        <v>19</v>
      </c>
      <c r="AO11" t="s">
        <v>19</v>
      </c>
    </row>
    <row r="12" spans="1:41" x14ac:dyDescent="0.3">
      <c r="A12">
        <v>12</v>
      </c>
      <c r="B12" t="s">
        <v>133</v>
      </c>
      <c r="C12" t="s">
        <v>134</v>
      </c>
      <c r="D12" t="s">
        <v>75</v>
      </c>
      <c r="E12" t="s">
        <v>75</v>
      </c>
      <c r="F12" t="s">
        <v>75</v>
      </c>
      <c r="G12" t="s">
        <v>75</v>
      </c>
      <c r="H12" t="s">
        <v>75</v>
      </c>
      <c r="I12" t="s">
        <v>75</v>
      </c>
      <c r="J12" t="s">
        <v>75</v>
      </c>
      <c r="K12" t="s">
        <v>18</v>
      </c>
      <c r="L12" t="s">
        <v>18</v>
      </c>
      <c r="M12" t="s">
        <v>75</v>
      </c>
      <c r="N12" t="s">
        <v>75</v>
      </c>
      <c r="O12" t="s">
        <v>76</v>
      </c>
      <c r="P12" t="s">
        <v>75</v>
      </c>
      <c r="Q12" t="s">
        <v>76</v>
      </c>
      <c r="R12" t="s">
        <v>75</v>
      </c>
      <c r="S12" t="s">
        <v>75</v>
      </c>
      <c r="T12" t="s">
        <v>77</v>
      </c>
      <c r="U12" t="s">
        <v>78</v>
      </c>
      <c r="V12" t="s">
        <v>79</v>
      </c>
      <c r="W12" t="s">
        <v>80</v>
      </c>
      <c r="X12" t="s">
        <v>81</v>
      </c>
      <c r="Y12" t="s">
        <v>75</v>
      </c>
      <c r="Z12" t="s">
        <v>75</v>
      </c>
      <c r="AA12" t="s">
        <v>81</v>
      </c>
      <c r="AB12" t="s">
        <v>75</v>
      </c>
      <c r="AC12" t="s">
        <v>75</v>
      </c>
      <c r="AD12" t="s">
        <v>81</v>
      </c>
      <c r="AE12" t="s">
        <v>75</v>
      </c>
      <c r="AF12" t="s">
        <v>75</v>
      </c>
      <c r="AG12" t="s">
        <v>81</v>
      </c>
      <c r="AH12" t="s">
        <v>75</v>
      </c>
      <c r="AI12" t="s">
        <v>81</v>
      </c>
      <c r="AJ12" t="s">
        <v>75</v>
      </c>
      <c r="AK12">
        <v>20221130180340</v>
      </c>
      <c r="AL12" t="s">
        <v>19</v>
      </c>
      <c r="AM12" t="s">
        <v>19</v>
      </c>
      <c r="AN12" t="s">
        <v>19</v>
      </c>
      <c r="AO12" t="s">
        <v>19</v>
      </c>
    </row>
    <row r="13" spans="1:41" x14ac:dyDescent="0.3">
      <c r="A13">
        <v>13</v>
      </c>
      <c r="B13" t="s">
        <v>135</v>
      </c>
      <c r="C13" t="s">
        <v>136</v>
      </c>
      <c r="D13" t="s">
        <v>75</v>
      </c>
      <c r="E13" t="s">
        <v>75</v>
      </c>
      <c r="F13" t="s">
        <v>75</v>
      </c>
      <c r="G13" t="s">
        <v>75</v>
      </c>
      <c r="H13" t="s">
        <v>75</v>
      </c>
      <c r="I13" t="s">
        <v>75</v>
      </c>
      <c r="J13" t="s">
        <v>75</v>
      </c>
      <c r="K13" t="s">
        <v>18</v>
      </c>
      <c r="L13" t="s">
        <v>18</v>
      </c>
      <c r="M13" t="s">
        <v>75</v>
      </c>
      <c r="N13" t="s">
        <v>75</v>
      </c>
      <c r="O13" t="s">
        <v>76</v>
      </c>
      <c r="P13" t="s">
        <v>75</v>
      </c>
      <c r="Q13" t="s">
        <v>76</v>
      </c>
      <c r="R13" t="s">
        <v>75</v>
      </c>
      <c r="S13" t="s">
        <v>75</v>
      </c>
      <c r="T13" t="s">
        <v>77</v>
      </c>
      <c r="U13" t="s">
        <v>78</v>
      </c>
      <c r="V13" t="s">
        <v>79</v>
      </c>
      <c r="W13" t="s">
        <v>80</v>
      </c>
      <c r="X13" t="s">
        <v>81</v>
      </c>
      <c r="Y13" t="s">
        <v>75</v>
      </c>
      <c r="Z13" t="s">
        <v>75</v>
      </c>
      <c r="AA13" t="s">
        <v>81</v>
      </c>
      <c r="AB13" t="s">
        <v>75</v>
      </c>
      <c r="AC13" t="s">
        <v>75</v>
      </c>
      <c r="AD13" t="s">
        <v>81</v>
      </c>
      <c r="AE13" t="s">
        <v>75</v>
      </c>
      <c r="AF13" t="s">
        <v>75</v>
      </c>
      <c r="AG13" t="s">
        <v>81</v>
      </c>
      <c r="AH13" t="s">
        <v>75</v>
      </c>
      <c r="AI13" t="s">
        <v>81</v>
      </c>
      <c r="AJ13" t="s">
        <v>75</v>
      </c>
      <c r="AK13">
        <v>20221130183141</v>
      </c>
      <c r="AL13" t="s">
        <v>19</v>
      </c>
      <c r="AM13" t="s">
        <v>19</v>
      </c>
      <c r="AN13" t="s">
        <v>19</v>
      </c>
      <c r="AO13" t="s">
        <v>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overview</vt:lpstr>
      <vt:lpstr>reports</vt:lpstr>
      <vt:lpstr>log</vt:lpstr>
      <vt:lpstr>Test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Nolan Manteufel</cp:lastModifiedBy>
  <dcterms:created xsi:type="dcterms:W3CDTF">2006-09-16T00:00:00Z</dcterms:created>
  <dcterms:modified xsi:type="dcterms:W3CDTF">2022-12-01T00:40:57Z</dcterms:modified>
</cp:coreProperties>
</file>